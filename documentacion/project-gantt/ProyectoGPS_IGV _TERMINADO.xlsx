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94A1772-53E4-4CA4-92B7-FBB2AEB49FBD}" xr6:coauthVersionLast="47" xr6:coauthVersionMax="47" xr10:uidLastSave="{00000000-0000-0000-0000-000000000000}"/>
  <bookViews>
    <workbookView xWindow="-108" yWindow="-108" windowWidth="23256" windowHeight="13896" tabRatio="500" firstSheet="2" activeTab="3" xr2:uid="{00000000-000D-0000-FFFF-FFFF00000000}"/>
  </bookViews>
  <sheets>
    <sheet name="Presupuesto por Partidas" sheetId="1" r:id="rId1"/>
    <sheet name="Hoja1" sheetId="4" r:id="rId2"/>
    <sheet name="Presupuesto" sheetId="2" r:id="rId3"/>
    <sheet name="Hoja de Recurs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C3" i="2"/>
  <c r="G60" i="1"/>
  <c r="G14" i="1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4" i="3" s="1"/>
  <c r="G59" i="1"/>
  <c r="G58" i="1"/>
  <c r="G57" i="1"/>
  <c r="G56" i="1"/>
  <c r="G55" i="1"/>
  <c r="G54" i="1"/>
  <c r="G53" i="1"/>
  <c r="G52" i="1"/>
  <c r="C7" i="2" s="1"/>
  <c r="G50" i="1"/>
  <c r="G49" i="1"/>
  <c r="G48" i="1"/>
  <c r="G47" i="1"/>
  <c r="G46" i="1"/>
  <c r="G45" i="1"/>
  <c r="G44" i="1"/>
  <c r="G43" i="1"/>
  <c r="G42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25" i="1" s="1"/>
  <c r="C4" i="2" s="1"/>
  <c r="G13" i="1"/>
  <c r="G12" i="1"/>
  <c r="G11" i="1"/>
  <c r="G10" i="1"/>
  <c r="G9" i="1"/>
  <c r="G8" i="1"/>
  <c r="G7" i="1"/>
  <c r="G6" i="1"/>
  <c r="G5" i="1"/>
  <c r="G4" i="1"/>
  <c r="G3" i="1"/>
  <c r="G51" i="1" l="1"/>
  <c r="C6" i="2" s="1"/>
  <c r="G41" i="1"/>
  <c r="G25" i="3"/>
  <c r="G26" i="3" s="1"/>
  <c r="C8" i="2" l="1"/>
  <c r="G61" i="1"/>
  <c r="G62" i="1" s="1"/>
  <c r="G63" i="1" s="1"/>
  <c r="C9" i="2" l="1"/>
  <c r="C10" i="2" s="1"/>
  <c r="D10" i="2" l="1"/>
  <c r="D4" i="2"/>
  <c r="D7" i="2"/>
  <c r="D5" i="2"/>
  <c r="D6" i="2"/>
  <c r="D3" i="2"/>
</calcChain>
</file>

<file path=xl/sharedStrings.xml><?xml version="1.0" encoding="utf-8"?>
<sst xmlns="http://schemas.openxmlformats.org/spreadsheetml/2006/main" count="380" uniqueCount="212">
  <si>
    <t xml:space="preserve">PRESUPUESTO POR PARTIDAS </t>
  </si>
  <si>
    <t>Partida y Fase</t>
  </si>
  <si>
    <t>Actividad</t>
  </si>
  <si>
    <t>Cantidad</t>
  </si>
  <si>
    <t>Unidad</t>
  </si>
  <si>
    <t>Costo unitario (S/)</t>
  </si>
  <si>
    <t>Subtotal (S/)</t>
  </si>
  <si>
    <t xml:space="preserve">Descripcion </t>
  </si>
  <si>
    <t>FASE 1: ANÁLISIS DE REQUISITOS</t>
  </si>
  <si>
    <t>Levantamiento y reconocimiento del problema</t>
  </si>
  <si>
    <t>hora</t>
  </si>
  <si>
    <t>Necesidades de conductores, acompañantes y supervisores</t>
  </si>
  <si>
    <t>Entrevistas y recopilación de información</t>
  </si>
  <si>
    <t>Entrevistas con usuarios y responsables</t>
  </si>
  <si>
    <t>Definición de objetivos y alcance</t>
  </si>
  <si>
    <t>Objetivo general, específicos, límites y supuestos</t>
  </si>
  <si>
    <t>Identificación de stakeholders</t>
  </si>
  <si>
    <t>Usuarios, administrador, supervisor y soporte</t>
  </si>
  <si>
    <t>Análisis de requisitos funcionales móvil</t>
  </si>
  <si>
    <t>RF-M01 a RF-M11</t>
  </si>
  <si>
    <t>Análisis de requisitos funcionales web</t>
  </si>
  <si>
    <t>RF-W01 a RF-W06</t>
  </si>
  <si>
    <t>Requisitos no funcionales y restricciones</t>
  </si>
  <si>
    <t>Rendimiento, seguridad, disponibilidad y conectividad</t>
  </si>
  <si>
    <t>Modelado inicial de datos</t>
  </si>
  <si>
    <t>Usuarios, rutas, viajes, coordenadas e incidentes</t>
  </si>
  <si>
    <t>Documentación y validación de requisitos</t>
  </si>
  <si>
    <t>Especificación, revisión y aprobación</t>
  </si>
  <si>
    <t>Taller de validación con usuarios</t>
  </si>
  <si>
    <t>lote</t>
  </si>
  <si>
    <t>Sesión de revisión y validación de requerimientos</t>
  </si>
  <si>
    <t>Internet y servicios de trabajo</t>
  </si>
  <si>
    <t>Conectividad y gastos operativos de la fase</t>
  </si>
  <si>
    <t>TOTAL</t>
  </si>
  <si>
    <t>FASE 2: DISEÑO DEL PROYECTO</t>
  </si>
  <si>
    <t>Arquitectura general móvil + backend + web</t>
  </si>
  <si>
    <t>Flutter, API REST, Spring Boot y arquitectura web</t>
  </si>
  <si>
    <t>Diseño UI/UX móvil</t>
  </si>
  <si>
    <t>Login, rutas, viaje, alertas y acompañamiento</t>
  </si>
  <si>
    <t>Diseño de interfaz web administrativa</t>
  </si>
  <si>
    <t>Usuarios, rutas, tramos, incidentes y reportes</t>
  </si>
  <si>
    <t>Wireframes y prototipos navegables</t>
  </si>
  <si>
    <t>Flujos principales y validación visual</t>
  </si>
  <si>
    <t>Diseño de base de datos</t>
  </si>
  <si>
    <t>Modelo entidad-relación, tablas y relaciones</t>
  </si>
  <si>
    <t>Diseño de seguridad y botón de pánico</t>
  </si>
  <si>
    <t>Acceso, roles, alertas y control</t>
  </si>
  <si>
    <t>Diseño de API y contratos</t>
  </si>
  <si>
    <t>Endpoints, payloads y respuestas</t>
  </si>
  <si>
    <t>Diseño de navegación y experiencia GPS</t>
  </si>
  <si>
    <t>Flujos de ubicación, rutas y seguimiento</t>
  </si>
  <si>
    <t>Documentación y revisión del diseño</t>
  </si>
  <si>
    <t>Especificaciones técnicas y aprobación</t>
  </si>
  <si>
    <t>Recursos de diseño e impresión</t>
  </si>
  <si>
    <t>Materiales, impresiones y evidencias</t>
  </si>
  <si>
    <t>FASE 3: IMPLEMENTACIÓN Y CODIFICACIÓN</t>
  </si>
  <si>
    <t>Configuración del proyecto Flutter</t>
  </si>
  <si>
    <t>Estructura base, dependencias y configuración</t>
  </si>
  <si>
    <t>Desarrollo Login / Registro</t>
  </si>
  <si>
    <t>RF-M01</t>
  </si>
  <si>
    <t>Desarrollo selección de ruta</t>
  </si>
  <si>
    <t>RF-M03</t>
  </si>
  <si>
    <t>GPS y captura de coordenadas</t>
  </si>
  <si>
    <t>RF-M04</t>
  </si>
  <si>
    <t>Viaje activo y monitoreo</t>
  </si>
  <si>
    <t>RF-M02 y RF-M08</t>
  </si>
  <si>
    <t>Alertas e incidentes</t>
  </si>
  <si>
    <t>RF-M06</t>
  </si>
  <si>
    <t>Botón de pánico</t>
  </si>
  <si>
    <t>RF-M07</t>
  </si>
  <si>
    <t>Acompañamiento preventivo</t>
  </si>
  <si>
    <t>RF-M08 y RF-M09</t>
  </si>
  <si>
    <t>Historial y finalización del viaje</t>
  </si>
  <si>
    <t>RF-M10 y RF-M11</t>
  </si>
  <si>
    <t>Backend Spring Boot y API REST</t>
  </si>
  <si>
    <t>Usuarios, rutas, viajes e incidentes</t>
  </si>
  <si>
    <t>Base de datos e integración</t>
  </si>
  <si>
    <t>Persistencia, consultas y relaciones</t>
  </si>
  <si>
    <t>Módulo web administrativo</t>
  </si>
  <si>
    <t>Gestión de usuarios, rutas e incidentes</t>
  </si>
  <si>
    <t>Integración móvil-backend</t>
  </si>
  <si>
    <t>Autenticación, sincronización y consumo de API</t>
  </si>
  <si>
    <t>Integración de mapas y servicios de ubicación</t>
  </si>
  <si>
    <t>Mapas, rutas, marcadores y geolocalización</t>
  </si>
  <si>
    <t>Servidor, hosting y conectividad</t>
  </si>
  <si>
    <t>Ambiente de integración y despliegue</t>
  </si>
  <si>
    <t>FASE 4: PRUEBAS Y VALIDACIÓN</t>
  </si>
  <si>
    <t>Pruebas funcionales móviles</t>
  </si>
  <si>
    <t>Login, rutas, GPS y alertas</t>
  </si>
  <si>
    <t>Pruebas del backend y API</t>
  </si>
  <si>
    <t>Endpoints, respuestas y errores</t>
  </si>
  <si>
    <t>Pruebas de base de datos</t>
  </si>
  <si>
    <t>Persistencia e integridad</t>
  </si>
  <si>
    <t>Pruebas de GPS, mapas y sensores</t>
  </si>
  <si>
    <t>Ubicación, movimiento y consumo de batería</t>
  </si>
  <si>
    <t>Pruebas de seguridad</t>
  </si>
  <si>
    <t>Accesos, roles y protección de datos</t>
  </si>
  <si>
    <t>Pruebas de interfaz web</t>
  </si>
  <si>
    <t>Responsive y módulos administrativos</t>
  </si>
  <si>
    <t>Pruebas de integración extremo a extremo</t>
  </si>
  <si>
    <t>Móvil + API + BD + web</t>
  </si>
  <si>
    <t>Corrección de errores</t>
  </si>
  <si>
    <t>Incidencias encontradas durante QA</t>
  </si>
  <si>
    <t>Prueba piloto con usuarios</t>
  </si>
  <si>
    <t>Validación en escenario controlado</t>
  </si>
  <si>
    <t>FASE 5: MANTENIMIENTO Y SOPORTE</t>
  </si>
  <si>
    <t>Corrección y ajustes posteriores</t>
  </si>
  <si>
    <t>Correcciones menores post-entrega</t>
  </si>
  <si>
    <t>Mantenimiento de aplicación móvil</t>
  </si>
  <si>
    <t>Actualizaciones y compatibilidad</t>
  </si>
  <si>
    <t>Mantenimiento de backend y API</t>
  </si>
  <si>
    <t>Servicios y sincronización</t>
  </si>
  <si>
    <t>Mantenimiento de base de datos</t>
  </si>
  <si>
    <t>Respaldos y consistencia</t>
  </si>
  <si>
    <t>Monitoreo y revisión de seguridad</t>
  </si>
  <si>
    <t>Revisión de accesos y datos</t>
  </si>
  <si>
    <t>Soporte a usuarios</t>
  </si>
  <si>
    <t>Atención y resolución de incidencias</t>
  </si>
  <si>
    <t>Hosting y servicios de operación</t>
  </si>
  <si>
    <t>Infraestructura durante soporte</t>
  </si>
  <si>
    <t>Manual de usuario y documentación final</t>
  </si>
  <si>
    <t>Manual técnico y manual de usuario</t>
  </si>
  <si>
    <t>SUBTOTAL (sin IGV)</t>
  </si>
  <si>
    <t>IGV (18%)</t>
  </si>
  <si>
    <t>TOTAL CON IGV</t>
  </si>
  <si>
    <t>PRESUPUESTO DEL PROYECTO</t>
  </si>
  <si>
    <t>Fase</t>
  </si>
  <si>
    <t>Descripción</t>
  </si>
  <si>
    <t>Presupuesto (S/)</t>
  </si>
  <si>
    <t>% del total</t>
  </si>
  <si>
    <t>Recursos principales</t>
  </si>
  <si>
    <t>Entregable</t>
  </si>
  <si>
    <t>Fase 1</t>
  </si>
  <si>
    <t>Análisis de Requisitos</t>
  </si>
  <si>
    <t>RF/RNF validados</t>
  </si>
  <si>
    <t>Entrevistas, análisis y documentación</t>
  </si>
  <si>
    <t>Fase 2</t>
  </si>
  <si>
    <t>Diseño del Proyecto</t>
  </si>
  <si>
    <t>Interfaces web y móvil</t>
  </si>
  <si>
    <t>UI/UX, BD, API y seguridad</t>
  </si>
  <si>
    <t>Fase 3</t>
  </si>
  <si>
    <t>Implementación y Codificación</t>
  </si>
  <si>
    <t>Integración móvil-backend-web</t>
  </si>
  <si>
    <t>Flutter, Spring Boot, BD, mapas y despliegue</t>
  </si>
  <si>
    <t>Fase 4</t>
  </si>
  <si>
    <t>Pruebas y Validación</t>
  </si>
  <si>
    <t>Validación funcional</t>
  </si>
  <si>
    <t>Pruebas funcionales, integración, seguridad y piloto</t>
  </si>
  <si>
    <t>Fase 5</t>
  </si>
  <si>
    <t>Mantenimiento y Soporte</t>
  </si>
  <si>
    <t>Versión final y documentación</t>
  </si>
  <si>
    <t>Correcciones, soporte, hosting y capacitación</t>
  </si>
  <si>
    <t xml:space="preserve">HOJA DE RECURSOS </t>
  </si>
  <si>
    <t>Recurso</t>
  </si>
  <si>
    <t>Categoría</t>
  </si>
  <si>
    <t>Costo total (S/)</t>
  </si>
  <si>
    <t>Responsabilidad / uso</t>
  </si>
  <si>
    <t>Analista de requisitos</t>
  </si>
  <si>
    <t>Humano</t>
  </si>
  <si>
    <t>Levantamiento, análisis y validación de requisitos</t>
  </si>
  <si>
    <t>Diseñador UI/UX</t>
  </si>
  <si>
    <t>Fases 1–2</t>
  </si>
  <si>
    <t>Flujos, wireframes y diseño de interfaces</t>
  </si>
  <si>
    <t>Arquitecto / analista técnico</t>
  </si>
  <si>
    <t>Fases 1–3</t>
  </si>
  <si>
    <t>Arquitectura y especificaciones</t>
  </si>
  <si>
    <t>Desarrollador Flutter</t>
  </si>
  <si>
    <t>Fases 2–3</t>
  </si>
  <si>
    <t>Desarrollo móvil y GPS</t>
  </si>
  <si>
    <t>Desarrollador Spring Boot</t>
  </si>
  <si>
    <t>API REST, lógica e integración</t>
  </si>
  <si>
    <t>Administrador / desarrollador BD</t>
  </si>
  <si>
    <t>Modelo, tablas y persistencia</t>
  </si>
  <si>
    <t>Desarrollador web</t>
  </si>
  <si>
    <t>Panel administrativo web</t>
  </si>
  <si>
    <t>QA / Tester</t>
  </si>
  <si>
    <t>Pruebas y validación</t>
  </si>
  <si>
    <t>Soporte y mantenimiento</t>
  </si>
  <si>
    <t>Correcciones y soporte</t>
  </si>
  <si>
    <t>Computadora de desarrollo</t>
  </si>
  <si>
    <t>Equipo</t>
  </si>
  <si>
    <t>mes</t>
  </si>
  <si>
    <t>Fases 1–5</t>
  </si>
  <si>
    <t>IDE, Flutter, Java/Spring Boot y documentación</t>
  </si>
  <si>
    <t>Smartphones de prueba</t>
  </si>
  <si>
    <t>Fases 3–4</t>
  </si>
  <si>
    <t>GPS, sensores, alertas y batería</t>
  </si>
  <si>
    <t>Internet</t>
  </si>
  <si>
    <t>Servicio</t>
  </si>
  <si>
    <t>Conectividad de desarrollo y pruebas</t>
  </si>
  <si>
    <t>Hosting / servidor</t>
  </si>
  <si>
    <t>Fases 3–5</t>
  </si>
  <si>
    <t>Backend y servicios</t>
  </si>
  <si>
    <t>Luz y energía</t>
  </si>
  <si>
    <t>Operación del equipo</t>
  </si>
  <si>
    <t>Agua</t>
  </si>
  <si>
    <t>Gasto operativo</t>
  </si>
  <si>
    <t>Alimentos</t>
  </si>
  <si>
    <t>Insumo</t>
  </si>
  <si>
    <t>Jornadas de trabajo</t>
  </si>
  <si>
    <t>Transporte</t>
  </si>
  <si>
    <t>Fases 1,2,4,5</t>
  </si>
  <si>
    <t>Reuniones y validaciones</t>
  </si>
  <si>
    <t>Materiales e impresiones</t>
  </si>
  <si>
    <t>Documentación y evidencias</t>
  </si>
  <si>
    <t>Servicios de prototipado / diseño</t>
  </si>
  <si>
    <t>Herramientas de diseño</t>
  </si>
  <si>
    <t>Prueba piloto y logística</t>
  </si>
  <si>
    <t>Usuarios y escenario de validación</t>
  </si>
  <si>
    <t>Contingencia operativa del proyecto</t>
  </si>
  <si>
    <t>Reserva</t>
  </si>
  <si>
    <t>Margen para imprevistos y ajustes no 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</si>
</sst>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0.00"/>
  </numFmts>
  <fonts count="9" x14ac:knownFonts="1">
    <font>
      <sz val="11"/>
      <color theme="1"/>
      <name val="Calibri"/>
      <family val="2"/>
      <charset val="1"/>
    </font>
    <font>
      <b/>
      <sz val="16"/>
      <color theme="0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family val="1"/>
      <charset val="1"/>
    </font>
    <font>
      <sz val="11"/>
      <name val="Cambria"/>
      <family val="1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6"/>
      <color rgb="FFFFFFFF"/>
      <name val="Cambria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8"/>
        <bgColor rgb="FF339966"/>
      </patternFill>
    </fill>
    <fill>
      <patternFill patternType="solid">
        <fgColor theme="0"/>
        <bgColor rgb="FFEBF1DE"/>
      </patternFill>
    </fill>
    <fill>
      <patternFill patternType="solid">
        <fgColor rgb="FF92D050"/>
        <bgColor rgb="FFB7B7B7"/>
      </patternFill>
    </fill>
    <fill>
      <patternFill patternType="solid">
        <fgColor rgb="FF7030A0"/>
        <bgColor rgb="FF333399"/>
      </patternFill>
    </fill>
    <fill>
      <patternFill patternType="solid">
        <fgColor theme="6" tint="0.79989013336588644"/>
        <bgColor rgb="FFE2F0D9"/>
      </patternFill>
    </fill>
    <fill>
      <patternFill patternType="solid">
        <fgColor rgb="FFE2F0D9"/>
        <bgColor rgb="FFEBF1DE"/>
      </patternFill>
    </fill>
    <fill>
      <patternFill patternType="solid">
        <fgColor rgb="FFFF0000"/>
        <bgColor rgb="FF99330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5"/>
        <bgColor rgb="FF99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164" fontId="6" fillId="6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164" fontId="3" fillId="8" borderId="1" xfId="0" applyNumberFormat="1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164" fontId="6" fillId="9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0" fillId="0" borderId="0" xfId="0" applyNumberFormat="1" applyAlignment="1"/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2" fillId="10" borderId="0" xfId="0" applyFont="1" applyFill="1" applyAlignment="1">
      <alignment vertical="top" wrapText="1"/>
    </xf>
    <xf numFmtId="164" fontId="2" fillId="10" borderId="0" xfId="0" applyNumberFormat="1" applyFont="1" applyFill="1" applyAlignment="1">
      <alignment vertical="top" wrapText="1"/>
    </xf>
    <xf numFmtId="9" fontId="2" fillId="10" borderId="0" xfId="0" applyNumberFormat="1" applyFont="1" applyFill="1" applyAlignment="1">
      <alignment vertical="top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top" wrapText="1"/>
    </xf>
    <xf numFmtId="164" fontId="2" fillId="11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/>
    <xf numFmtId="10" fontId="0" fillId="0" borderId="1" xfId="0" applyNumberForma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0" fontId="1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7B7B7"/>
      <rgbColor rgb="FF808080"/>
      <rgbColor rgb="FF9999FF"/>
      <rgbColor rgb="FF7030A0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4BACC6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zoomScale="76" zoomScaleNormal="76" workbookViewId="0">
      <pane ySplit="2" topLeftCell="A35" activePane="bottomLeft" state="frozen"/>
      <selection pane="bottomLeft" activeCell="H60" sqref="H60"/>
    </sheetView>
  </sheetViews>
  <sheetFormatPr baseColWidth="10" defaultColWidth="8.6640625" defaultRowHeight="14.4" x14ac:dyDescent="0.3"/>
  <cols>
    <col min="1" max="1" width="12" style="1" customWidth="1"/>
    <col min="2" max="2" width="38.33203125" style="1" customWidth="1"/>
    <col min="3" max="3" width="48" style="1" customWidth="1"/>
    <col min="4" max="4" width="11" style="1" customWidth="1"/>
    <col min="5" max="5" width="12" style="1" customWidth="1"/>
    <col min="6" max="6" width="20" style="1" customWidth="1"/>
    <col min="7" max="7" width="18" style="1" customWidth="1"/>
    <col min="8" max="8" width="52" style="1" customWidth="1"/>
  </cols>
  <sheetData>
    <row r="1" spans="1:8" ht="19.5" customHeight="1" x14ac:dyDescent="0.35">
      <c r="A1" s="39" t="s">
        <v>0</v>
      </c>
      <c r="B1" s="39"/>
      <c r="C1" s="39"/>
      <c r="D1" s="39"/>
      <c r="E1" s="39"/>
      <c r="F1" s="39"/>
      <c r="G1" s="39"/>
      <c r="H1" s="39"/>
    </row>
    <row r="2" spans="1:8" ht="15" customHeight="1" x14ac:dyDescent="0.3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5" customHeight="1" x14ac:dyDescent="0.3">
      <c r="A3" s="4"/>
      <c r="B3" s="4" t="s">
        <v>8</v>
      </c>
      <c r="C3" s="4" t="s">
        <v>9</v>
      </c>
      <c r="D3" s="4">
        <v>24</v>
      </c>
      <c r="E3" s="4" t="s">
        <v>10</v>
      </c>
      <c r="F3" s="5">
        <v>57</v>
      </c>
      <c r="G3" s="5">
        <f t="shared" ref="G3:G13" si="0">D3*F3</f>
        <v>1368</v>
      </c>
      <c r="H3" s="4" t="s">
        <v>11</v>
      </c>
    </row>
    <row r="4" spans="1:8" ht="15" customHeight="1" x14ac:dyDescent="0.3">
      <c r="A4" s="4"/>
      <c r="B4" s="4" t="s">
        <v>8</v>
      </c>
      <c r="C4" s="4" t="s">
        <v>12</v>
      </c>
      <c r="D4" s="4">
        <v>20</v>
      </c>
      <c r="E4" s="4" t="s">
        <v>10</v>
      </c>
      <c r="F4" s="5">
        <v>53</v>
      </c>
      <c r="G4" s="5">
        <f t="shared" si="0"/>
        <v>1060</v>
      </c>
      <c r="H4" s="4" t="s">
        <v>13</v>
      </c>
    </row>
    <row r="5" spans="1:8" ht="15" customHeight="1" x14ac:dyDescent="0.3">
      <c r="A5" s="4"/>
      <c r="B5" s="4" t="s">
        <v>8</v>
      </c>
      <c r="C5" s="4" t="s">
        <v>14</v>
      </c>
      <c r="D5" s="4">
        <v>12</v>
      </c>
      <c r="E5" s="4" t="s">
        <v>10</v>
      </c>
      <c r="F5" s="5">
        <v>57</v>
      </c>
      <c r="G5" s="5">
        <f t="shared" si="0"/>
        <v>684</v>
      </c>
      <c r="H5" s="4" t="s">
        <v>15</v>
      </c>
    </row>
    <row r="6" spans="1:8" ht="15" customHeight="1" x14ac:dyDescent="0.3">
      <c r="A6" s="4"/>
      <c r="B6" s="4" t="s">
        <v>8</v>
      </c>
      <c r="C6" s="4" t="s">
        <v>16</v>
      </c>
      <c r="D6" s="4">
        <v>10</v>
      </c>
      <c r="E6" s="4" t="s">
        <v>10</v>
      </c>
      <c r="F6" s="5">
        <v>53</v>
      </c>
      <c r="G6" s="5">
        <f t="shared" si="0"/>
        <v>530</v>
      </c>
      <c r="H6" s="4" t="s">
        <v>17</v>
      </c>
    </row>
    <row r="7" spans="1:8" ht="15" customHeight="1" x14ac:dyDescent="0.3">
      <c r="A7" s="4"/>
      <c r="B7" s="4" t="s">
        <v>8</v>
      </c>
      <c r="C7" s="4" t="s">
        <v>18</v>
      </c>
      <c r="D7" s="4">
        <v>24</v>
      </c>
      <c r="E7" s="4" t="s">
        <v>10</v>
      </c>
      <c r="F7" s="5">
        <v>57</v>
      </c>
      <c r="G7" s="5">
        <f t="shared" si="0"/>
        <v>1368</v>
      </c>
      <c r="H7" s="4" t="s">
        <v>19</v>
      </c>
    </row>
    <row r="8" spans="1:8" ht="15" customHeight="1" x14ac:dyDescent="0.3">
      <c r="A8" s="4"/>
      <c r="B8" s="4" t="s">
        <v>8</v>
      </c>
      <c r="C8" s="4" t="s">
        <v>20</v>
      </c>
      <c r="D8" s="4">
        <v>18</v>
      </c>
      <c r="E8" s="4" t="s">
        <v>10</v>
      </c>
      <c r="F8" s="5">
        <v>57</v>
      </c>
      <c r="G8" s="5">
        <f t="shared" si="0"/>
        <v>1026</v>
      </c>
      <c r="H8" s="4" t="s">
        <v>21</v>
      </c>
    </row>
    <row r="9" spans="1:8" ht="15" customHeight="1" x14ac:dyDescent="0.3">
      <c r="A9" s="4"/>
      <c r="B9" s="4" t="s">
        <v>8</v>
      </c>
      <c r="C9" s="4" t="s">
        <v>22</v>
      </c>
      <c r="D9" s="4">
        <v>12</v>
      </c>
      <c r="E9" s="4" t="s">
        <v>10</v>
      </c>
      <c r="F9" s="5">
        <v>57</v>
      </c>
      <c r="G9" s="5">
        <f t="shared" si="0"/>
        <v>684</v>
      </c>
      <c r="H9" s="4" t="s">
        <v>23</v>
      </c>
    </row>
    <row r="10" spans="1:8" ht="15" customHeight="1" x14ac:dyDescent="0.3">
      <c r="A10" s="4"/>
      <c r="B10" s="4" t="s">
        <v>8</v>
      </c>
      <c r="C10" s="4" t="s">
        <v>24</v>
      </c>
      <c r="D10" s="4">
        <v>14</v>
      </c>
      <c r="E10" s="4" t="s">
        <v>10</v>
      </c>
      <c r="F10" s="5">
        <v>57</v>
      </c>
      <c r="G10" s="5">
        <f t="shared" si="0"/>
        <v>798</v>
      </c>
      <c r="H10" s="4" t="s">
        <v>25</v>
      </c>
    </row>
    <row r="11" spans="1:8" ht="15" customHeight="1" x14ac:dyDescent="0.3">
      <c r="A11" s="4"/>
      <c r="B11" s="4" t="s">
        <v>8</v>
      </c>
      <c r="C11" s="4" t="s">
        <v>26</v>
      </c>
      <c r="D11" s="4">
        <v>12</v>
      </c>
      <c r="E11" s="4" t="s">
        <v>10</v>
      </c>
      <c r="F11" s="5">
        <v>57</v>
      </c>
      <c r="G11" s="5">
        <f t="shared" si="0"/>
        <v>684</v>
      </c>
      <c r="H11" s="4" t="s">
        <v>27</v>
      </c>
    </row>
    <row r="12" spans="1:8" ht="15" customHeight="1" x14ac:dyDescent="0.3">
      <c r="A12" s="6"/>
      <c r="B12" s="7" t="s">
        <v>8</v>
      </c>
      <c r="C12" s="7" t="s">
        <v>28</v>
      </c>
      <c r="D12" s="7">
        <v>1</v>
      </c>
      <c r="E12" s="7" t="s">
        <v>29</v>
      </c>
      <c r="F12" s="8">
        <v>494</v>
      </c>
      <c r="G12" s="8">
        <f t="shared" si="0"/>
        <v>494</v>
      </c>
      <c r="H12" s="7" t="s">
        <v>30</v>
      </c>
    </row>
    <row r="13" spans="1:8" ht="15" customHeight="1" x14ac:dyDescent="0.3">
      <c r="A13" s="4"/>
      <c r="B13" s="4" t="s">
        <v>8</v>
      </c>
      <c r="C13" s="4" t="s">
        <v>31</v>
      </c>
      <c r="D13" s="4">
        <v>1</v>
      </c>
      <c r="E13" s="4" t="s">
        <v>29</v>
      </c>
      <c r="F13" s="5">
        <v>2960</v>
      </c>
      <c r="G13" s="5">
        <f t="shared" si="0"/>
        <v>2960</v>
      </c>
      <c r="H13" s="4" t="s">
        <v>32</v>
      </c>
    </row>
    <row r="14" spans="1:8" ht="15" customHeight="1" x14ac:dyDescent="0.3">
      <c r="A14" s="9" t="s">
        <v>33</v>
      </c>
      <c r="B14" s="9" t="s">
        <v>8</v>
      </c>
      <c r="C14" s="9"/>
      <c r="D14" s="9"/>
      <c r="E14" s="9"/>
      <c r="F14" s="10"/>
      <c r="G14" s="10">
        <f>SUM(G3:G13)</f>
        <v>11656</v>
      </c>
      <c r="H14" s="9"/>
    </row>
    <row r="15" spans="1:8" ht="15" customHeight="1" x14ac:dyDescent="0.3">
      <c r="A15" s="11"/>
      <c r="B15" s="11" t="s">
        <v>34</v>
      </c>
      <c r="C15" s="11" t="s">
        <v>35</v>
      </c>
      <c r="D15" s="11">
        <v>24</v>
      </c>
      <c r="E15" s="11" t="s">
        <v>10</v>
      </c>
      <c r="F15" s="12">
        <v>44</v>
      </c>
      <c r="G15" s="12">
        <f t="shared" ref="G15:G24" si="1">D15*F15</f>
        <v>1056</v>
      </c>
      <c r="H15" s="11" t="s">
        <v>36</v>
      </c>
    </row>
    <row r="16" spans="1:8" ht="15" customHeight="1" x14ac:dyDescent="0.3">
      <c r="A16" s="4"/>
      <c r="B16" s="4" t="s">
        <v>34</v>
      </c>
      <c r="C16" s="4" t="s">
        <v>37</v>
      </c>
      <c r="D16" s="4">
        <v>32</v>
      </c>
      <c r="E16" s="4" t="s">
        <v>10</v>
      </c>
      <c r="F16" s="5">
        <v>50</v>
      </c>
      <c r="G16" s="5">
        <f t="shared" si="1"/>
        <v>1600</v>
      </c>
      <c r="H16" s="4" t="s">
        <v>38</v>
      </c>
    </row>
    <row r="17" spans="1:8" ht="15" customHeight="1" x14ac:dyDescent="0.3">
      <c r="A17" s="4"/>
      <c r="B17" s="4" t="s">
        <v>34</v>
      </c>
      <c r="C17" s="4" t="s">
        <v>39</v>
      </c>
      <c r="D17" s="4">
        <v>24</v>
      </c>
      <c r="E17" s="4" t="s">
        <v>10</v>
      </c>
      <c r="F17" s="5">
        <v>52</v>
      </c>
      <c r="G17" s="5">
        <f t="shared" si="1"/>
        <v>1248</v>
      </c>
      <c r="H17" s="4" t="s">
        <v>40</v>
      </c>
    </row>
    <row r="18" spans="1:8" ht="15" customHeight="1" x14ac:dyDescent="0.3">
      <c r="A18" s="4"/>
      <c r="B18" s="4" t="s">
        <v>34</v>
      </c>
      <c r="C18" s="4" t="s">
        <v>41</v>
      </c>
      <c r="D18" s="4">
        <v>20</v>
      </c>
      <c r="E18" s="4" t="s">
        <v>10</v>
      </c>
      <c r="F18" s="5">
        <v>45</v>
      </c>
      <c r="G18" s="5">
        <f t="shared" si="1"/>
        <v>900</v>
      </c>
      <c r="H18" s="4" t="s">
        <v>42</v>
      </c>
    </row>
    <row r="19" spans="1:8" ht="15" customHeight="1" x14ac:dyDescent="0.3">
      <c r="A19" s="4"/>
      <c r="B19" s="4" t="s">
        <v>34</v>
      </c>
      <c r="C19" s="4" t="s">
        <v>43</v>
      </c>
      <c r="D19" s="4">
        <v>18</v>
      </c>
      <c r="E19" s="4" t="s">
        <v>10</v>
      </c>
      <c r="F19" s="5">
        <v>44</v>
      </c>
      <c r="G19" s="5">
        <f t="shared" si="1"/>
        <v>792</v>
      </c>
      <c r="H19" s="4" t="s">
        <v>44</v>
      </c>
    </row>
    <row r="20" spans="1:8" ht="15" customHeight="1" x14ac:dyDescent="0.3">
      <c r="A20" s="4"/>
      <c r="B20" s="4" t="s">
        <v>34</v>
      </c>
      <c r="C20" s="4" t="s">
        <v>45</v>
      </c>
      <c r="D20" s="4">
        <v>12</v>
      </c>
      <c r="E20" s="4" t="s">
        <v>10</v>
      </c>
      <c r="F20" s="5">
        <v>44</v>
      </c>
      <c r="G20" s="5">
        <f t="shared" si="1"/>
        <v>528</v>
      </c>
      <c r="H20" s="4" t="s">
        <v>46</v>
      </c>
    </row>
    <row r="21" spans="1:8" ht="15" customHeight="1" x14ac:dyDescent="0.3">
      <c r="A21" s="4"/>
      <c r="B21" s="4" t="s">
        <v>34</v>
      </c>
      <c r="C21" s="4" t="s">
        <v>47</v>
      </c>
      <c r="D21" s="4">
        <v>14</v>
      </c>
      <c r="E21" s="4" t="s">
        <v>10</v>
      </c>
      <c r="F21" s="5">
        <v>44</v>
      </c>
      <c r="G21" s="5">
        <f t="shared" si="1"/>
        <v>616</v>
      </c>
      <c r="H21" s="4" t="s">
        <v>48</v>
      </c>
    </row>
    <row r="22" spans="1:8" ht="15" customHeight="1" x14ac:dyDescent="0.3">
      <c r="A22" s="6"/>
      <c r="B22" s="7" t="s">
        <v>34</v>
      </c>
      <c r="C22" s="7" t="s">
        <v>49</v>
      </c>
      <c r="D22" s="7">
        <v>12</v>
      </c>
      <c r="E22" s="7" t="s">
        <v>10</v>
      </c>
      <c r="F22" s="8">
        <v>40</v>
      </c>
      <c r="G22" s="8">
        <f t="shared" si="1"/>
        <v>480</v>
      </c>
      <c r="H22" s="7" t="s">
        <v>50</v>
      </c>
    </row>
    <row r="23" spans="1:8" ht="15" customHeight="1" x14ac:dyDescent="0.3">
      <c r="A23" s="4"/>
      <c r="B23" s="4" t="s">
        <v>34</v>
      </c>
      <c r="C23" s="4" t="s">
        <v>51</v>
      </c>
      <c r="D23" s="4">
        <v>10</v>
      </c>
      <c r="E23" s="4" t="s">
        <v>10</v>
      </c>
      <c r="F23" s="5">
        <v>40</v>
      </c>
      <c r="G23" s="5">
        <f t="shared" si="1"/>
        <v>400</v>
      </c>
      <c r="H23" s="4" t="s">
        <v>52</v>
      </c>
    </row>
    <row r="24" spans="1:8" ht="15" customHeight="1" x14ac:dyDescent="0.3">
      <c r="A24" s="4"/>
      <c r="B24" s="4" t="s">
        <v>34</v>
      </c>
      <c r="C24" s="4" t="s">
        <v>53</v>
      </c>
      <c r="D24" s="4">
        <v>1</v>
      </c>
      <c r="E24" s="4" t="s">
        <v>29</v>
      </c>
      <c r="F24" s="5">
        <v>1756</v>
      </c>
      <c r="G24" s="5">
        <f t="shared" si="1"/>
        <v>1756</v>
      </c>
      <c r="H24" s="4" t="s">
        <v>54</v>
      </c>
    </row>
    <row r="25" spans="1:8" ht="15" customHeight="1" x14ac:dyDescent="0.3">
      <c r="A25" s="11" t="s">
        <v>33</v>
      </c>
      <c r="B25" s="11" t="s">
        <v>34</v>
      </c>
      <c r="C25" s="11"/>
      <c r="D25" s="11"/>
      <c r="E25" s="11"/>
      <c r="F25" s="12"/>
      <c r="G25" s="12">
        <f>SUM(G15:G24)</f>
        <v>9376</v>
      </c>
      <c r="H25" s="11"/>
    </row>
    <row r="26" spans="1:8" ht="27.75" customHeight="1" x14ac:dyDescent="0.3">
      <c r="A26" s="13"/>
      <c r="B26" s="13" t="s">
        <v>55</v>
      </c>
      <c r="C26" s="13" t="s">
        <v>56</v>
      </c>
      <c r="D26" s="13">
        <v>20</v>
      </c>
      <c r="E26" s="13" t="s">
        <v>10</v>
      </c>
      <c r="F26" s="14">
        <v>58</v>
      </c>
      <c r="G26" s="14">
        <f t="shared" ref="G26:G40" si="2">D26*F26</f>
        <v>1160</v>
      </c>
      <c r="H26" s="13" t="s">
        <v>57</v>
      </c>
    </row>
    <row r="27" spans="1:8" ht="27.75" customHeight="1" x14ac:dyDescent="0.3">
      <c r="A27" s="4"/>
      <c r="B27" s="4" t="s">
        <v>55</v>
      </c>
      <c r="C27" s="4" t="s">
        <v>58</v>
      </c>
      <c r="D27" s="4">
        <v>24</v>
      </c>
      <c r="E27" s="4" t="s">
        <v>10</v>
      </c>
      <c r="F27" s="5">
        <v>48</v>
      </c>
      <c r="G27" s="5">
        <f t="shared" si="2"/>
        <v>1152</v>
      </c>
      <c r="H27" s="4" t="s">
        <v>59</v>
      </c>
    </row>
    <row r="28" spans="1:8" ht="27.75" customHeight="1" x14ac:dyDescent="0.3">
      <c r="A28" s="4"/>
      <c r="B28" s="4" t="s">
        <v>55</v>
      </c>
      <c r="C28" s="4" t="s">
        <v>60</v>
      </c>
      <c r="D28" s="4">
        <v>28</v>
      </c>
      <c r="E28" s="4" t="s">
        <v>10</v>
      </c>
      <c r="F28" s="5">
        <v>48</v>
      </c>
      <c r="G28" s="5">
        <f t="shared" si="2"/>
        <v>1344</v>
      </c>
      <c r="H28" s="4" t="s">
        <v>61</v>
      </c>
    </row>
    <row r="29" spans="1:8" ht="27.75" customHeight="1" x14ac:dyDescent="0.3">
      <c r="A29" s="4"/>
      <c r="B29" s="4" t="s">
        <v>55</v>
      </c>
      <c r="C29" s="4" t="s">
        <v>62</v>
      </c>
      <c r="D29" s="4">
        <v>40</v>
      </c>
      <c r="E29" s="4" t="s">
        <v>10</v>
      </c>
      <c r="F29" s="5">
        <v>41</v>
      </c>
      <c r="G29" s="5">
        <f t="shared" si="2"/>
        <v>1640</v>
      </c>
      <c r="H29" s="4" t="s">
        <v>63</v>
      </c>
    </row>
    <row r="30" spans="1:8" ht="27.75" customHeight="1" x14ac:dyDescent="0.3">
      <c r="A30" s="4"/>
      <c r="B30" s="4" t="s">
        <v>55</v>
      </c>
      <c r="C30" s="4" t="s">
        <v>64</v>
      </c>
      <c r="D30" s="4">
        <v>36</v>
      </c>
      <c r="E30" s="4" t="s">
        <v>10</v>
      </c>
      <c r="F30" s="5">
        <v>41</v>
      </c>
      <c r="G30" s="5">
        <f t="shared" si="2"/>
        <v>1476</v>
      </c>
      <c r="H30" s="4" t="s">
        <v>65</v>
      </c>
    </row>
    <row r="31" spans="1:8" ht="27.75" customHeight="1" x14ac:dyDescent="0.3">
      <c r="A31" s="4"/>
      <c r="B31" s="4" t="s">
        <v>55</v>
      </c>
      <c r="C31" s="4" t="s">
        <v>66</v>
      </c>
      <c r="D31" s="4">
        <v>28</v>
      </c>
      <c r="E31" s="4" t="s">
        <v>10</v>
      </c>
      <c r="F31" s="5">
        <v>48</v>
      </c>
      <c r="G31" s="5">
        <f t="shared" si="2"/>
        <v>1344</v>
      </c>
      <c r="H31" s="4" t="s">
        <v>67</v>
      </c>
    </row>
    <row r="32" spans="1:8" ht="27.75" customHeight="1" x14ac:dyDescent="0.3">
      <c r="A32" s="4"/>
      <c r="B32" s="4" t="s">
        <v>55</v>
      </c>
      <c r="C32" s="4" t="s">
        <v>68</v>
      </c>
      <c r="D32" s="4">
        <v>20</v>
      </c>
      <c r="E32" s="4" t="s">
        <v>10</v>
      </c>
      <c r="F32" s="5">
        <v>41</v>
      </c>
      <c r="G32" s="5">
        <f t="shared" si="2"/>
        <v>820</v>
      </c>
      <c r="H32" s="4" t="s">
        <v>69</v>
      </c>
    </row>
    <row r="33" spans="1:8" ht="27.75" customHeight="1" x14ac:dyDescent="0.3">
      <c r="A33" s="4"/>
      <c r="B33" s="4" t="s">
        <v>55</v>
      </c>
      <c r="C33" s="4" t="s">
        <v>70</v>
      </c>
      <c r="D33" s="4">
        <v>28</v>
      </c>
      <c r="E33" s="4" t="s">
        <v>10</v>
      </c>
      <c r="F33" s="5">
        <v>41</v>
      </c>
      <c r="G33" s="5">
        <f t="shared" si="2"/>
        <v>1148</v>
      </c>
      <c r="H33" s="4" t="s">
        <v>71</v>
      </c>
    </row>
    <row r="34" spans="1:8" ht="27.75" customHeight="1" x14ac:dyDescent="0.3">
      <c r="A34" s="4"/>
      <c r="B34" s="4" t="s">
        <v>55</v>
      </c>
      <c r="C34" s="4" t="s">
        <v>72</v>
      </c>
      <c r="D34" s="4">
        <v>20</v>
      </c>
      <c r="E34" s="4" t="s">
        <v>10</v>
      </c>
      <c r="F34" s="5">
        <v>48</v>
      </c>
      <c r="G34" s="5">
        <f t="shared" si="2"/>
        <v>960</v>
      </c>
      <c r="H34" s="4" t="s">
        <v>73</v>
      </c>
    </row>
    <row r="35" spans="1:8" ht="27.75" customHeight="1" x14ac:dyDescent="0.3">
      <c r="A35" s="7"/>
      <c r="B35" s="15" t="s">
        <v>55</v>
      </c>
      <c r="C35" s="7" t="s">
        <v>74</v>
      </c>
      <c r="D35" s="7">
        <v>50</v>
      </c>
      <c r="E35" s="7" t="s">
        <v>10</v>
      </c>
      <c r="F35" s="8">
        <v>41</v>
      </c>
      <c r="G35" s="8">
        <f t="shared" si="2"/>
        <v>2050</v>
      </c>
      <c r="H35" s="7" t="s">
        <v>75</v>
      </c>
    </row>
    <row r="36" spans="1:8" ht="27.75" customHeight="1" x14ac:dyDescent="0.3">
      <c r="A36" s="4"/>
      <c r="B36" s="4" t="s">
        <v>55</v>
      </c>
      <c r="C36" s="4" t="s">
        <v>76</v>
      </c>
      <c r="D36" s="4">
        <v>36</v>
      </c>
      <c r="E36" s="4" t="s">
        <v>10</v>
      </c>
      <c r="F36" s="5">
        <v>45</v>
      </c>
      <c r="G36" s="5">
        <f t="shared" si="2"/>
        <v>1620</v>
      </c>
      <c r="H36" s="4" t="s">
        <v>77</v>
      </c>
    </row>
    <row r="37" spans="1:8" ht="27.75" customHeight="1" x14ac:dyDescent="0.3">
      <c r="A37" s="4"/>
      <c r="B37" s="4" t="s">
        <v>55</v>
      </c>
      <c r="C37" s="4" t="s">
        <v>78</v>
      </c>
      <c r="D37" s="4">
        <v>44</v>
      </c>
      <c r="E37" s="4" t="s">
        <v>10</v>
      </c>
      <c r="F37" s="5">
        <v>45</v>
      </c>
      <c r="G37" s="5">
        <f t="shared" si="2"/>
        <v>1980</v>
      </c>
      <c r="H37" s="4" t="s">
        <v>79</v>
      </c>
    </row>
    <row r="38" spans="1:8" ht="27.75" customHeight="1" x14ac:dyDescent="0.3">
      <c r="A38" s="4"/>
      <c r="B38" s="4" t="s">
        <v>55</v>
      </c>
      <c r="C38" s="4" t="s">
        <v>80</v>
      </c>
      <c r="D38" s="4">
        <v>32</v>
      </c>
      <c r="E38" s="4" t="s">
        <v>10</v>
      </c>
      <c r="F38" s="5">
        <v>45</v>
      </c>
      <c r="G38" s="5">
        <f t="shared" si="2"/>
        <v>1440</v>
      </c>
      <c r="H38" s="4" t="s">
        <v>81</v>
      </c>
    </row>
    <row r="39" spans="1:8" ht="27.75" customHeight="1" x14ac:dyDescent="0.3">
      <c r="A39" s="4"/>
      <c r="B39" s="4" t="s">
        <v>55</v>
      </c>
      <c r="C39" s="4" t="s">
        <v>82</v>
      </c>
      <c r="D39" s="4">
        <v>24</v>
      </c>
      <c r="E39" s="4" t="s">
        <v>10</v>
      </c>
      <c r="F39" s="5">
        <v>45</v>
      </c>
      <c r="G39" s="5">
        <f t="shared" si="2"/>
        <v>1080</v>
      </c>
      <c r="H39" s="4" t="s">
        <v>83</v>
      </c>
    </row>
    <row r="40" spans="1:8" ht="27.75" customHeight="1" x14ac:dyDescent="0.3">
      <c r="A40" s="4"/>
      <c r="B40" s="4" t="s">
        <v>55</v>
      </c>
      <c r="C40" s="4" t="s">
        <v>84</v>
      </c>
      <c r="D40" s="4">
        <v>1</v>
      </c>
      <c r="E40" s="4" t="s">
        <v>29</v>
      </c>
      <c r="F40" s="5">
        <v>3473</v>
      </c>
      <c r="G40" s="5">
        <f t="shared" si="2"/>
        <v>3473</v>
      </c>
      <c r="H40" s="4" t="s">
        <v>85</v>
      </c>
    </row>
    <row r="41" spans="1:8" ht="27.75" customHeight="1" x14ac:dyDescent="0.3">
      <c r="A41" s="13" t="s">
        <v>33</v>
      </c>
      <c r="B41" s="13" t="s">
        <v>55</v>
      </c>
      <c r="C41" s="13"/>
      <c r="D41" s="13"/>
      <c r="E41" s="13"/>
      <c r="F41" s="14"/>
      <c r="G41" s="14">
        <f>SUM(G26:G40)</f>
        <v>22687</v>
      </c>
      <c r="H41" s="13"/>
    </row>
    <row r="42" spans="1:8" ht="15" customHeight="1" x14ac:dyDescent="0.3">
      <c r="A42" s="16"/>
      <c r="B42" s="16" t="s">
        <v>86</v>
      </c>
      <c r="C42" s="16" t="s">
        <v>87</v>
      </c>
      <c r="D42" s="16">
        <v>28</v>
      </c>
      <c r="E42" s="16" t="s">
        <v>10</v>
      </c>
      <c r="F42" s="17">
        <v>45</v>
      </c>
      <c r="G42" s="17">
        <f t="shared" ref="G42:G50" si="3">D42*F42</f>
        <v>1260</v>
      </c>
      <c r="H42" s="16" t="s">
        <v>88</v>
      </c>
    </row>
    <row r="43" spans="1:8" ht="15" customHeight="1" x14ac:dyDescent="0.3">
      <c r="A43" s="4"/>
      <c r="B43" s="4" t="s">
        <v>86</v>
      </c>
      <c r="C43" s="4" t="s">
        <v>89</v>
      </c>
      <c r="D43" s="4">
        <v>22</v>
      </c>
      <c r="E43" s="4" t="s">
        <v>10</v>
      </c>
      <c r="F43" s="5">
        <v>48</v>
      </c>
      <c r="G43" s="5">
        <f t="shared" si="3"/>
        <v>1056</v>
      </c>
      <c r="H43" s="4" t="s">
        <v>90</v>
      </c>
    </row>
    <row r="44" spans="1:8" ht="15" customHeight="1" x14ac:dyDescent="0.3">
      <c r="A44" s="7"/>
      <c r="B44" s="7" t="s">
        <v>86</v>
      </c>
      <c r="C44" s="7" t="s">
        <v>91</v>
      </c>
      <c r="D44" s="7">
        <v>16</v>
      </c>
      <c r="E44" s="7" t="s">
        <v>10</v>
      </c>
      <c r="F44" s="8">
        <v>55</v>
      </c>
      <c r="G44" s="8">
        <f t="shared" si="3"/>
        <v>880</v>
      </c>
      <c r="H44" s="7" t="s">
        <v>92</v>
      </c>
    </row>
    <row r="45" spans="1:8" ht="15" customHeight="1" x14ac:dyDescent="0.3">
      <c r="A45" s="4"/>
      <c r="B45" s="4" t="s">
        <v>86</v>
      </c>
      <c r="C45" s="4" t="s">
        <v>93</v>
      </c>
      <c r="D45" s="4">
        <v>24</v>
      </c>
      <c r="E45" s="4" t="s">
        <v>10</v>
      </c>
      <c r="F45" s="5">
        <v>50</v>
      </c>
      <c r="G45" s="5">
        <f t="shared" si="3"/>
        <v>1200</v>
      </c>
      <c r="H45" s="4" t="s">
        <v>94</v>
      </c>
    </row>
    <row r="46" spans="1:8" ht="15" customHeight="1" x14ac:dyDescent="0.3">
      <c r="A46" s="4"/>
      <c r="B46" s="4" t="s">
        <v>86</v>
      </c>
      <c r="C46" s="4" t="s">
        <v>95</v>
      </c>
      <c r="D46" s="4">
        <v>16</v>
      </c>
      <c r="E46" s="4" t="s">
        <v>10</v>
      </c>
      <c r="F46" s="5">
        <v>51</v>
      </c>
      <c r="G46" s="5">
        <f t="shared" si="3"/>
        <v>816</v>
      </c>
      <c r="H46" s="4" t="s">
        <v>96</v>
      </c>
    </row>
    <row r="47" spans="1:8" ht="15" customHeight="1" x14ac:dyDescent="0.3">
      <c r="A47" s="4"/>
      <c r="B47" s="4" t="s">
        <v>86</v>
      </c>
      <c r="C47" s="4" t="s">
        <v>97</v>
      </c>
      <c r="D47" s="4">
        <v>16</v>
      </c>
      <c r="E47" s="4" t="s">
        <v>10</v>
      </c>
      <c r="F47" s="5">
        <v>41</v>
      </c>
      <c r="G47" s="5">
        <f t="shared" si="3"/>
        <v>656</v>
      </c>
      <c r="H47" s="4" t="s">
        <v>98</v>
      </c>
    </row>
    <row r="48" spans="1:8" ht="15" customHeight="1" x14ac:dyDescent="0.3">
      <c r="A48" s="4"/>
      <c r="B48" s="4" t="s">
        <v>86</v>
      </c>
      <c r="C48" s="4" t="s">
        <v>99</v>
      </c>
      <c r="D48" s="4">
        <v>20</v>
      </c>
      <c r="E48" s="4" t="s">
        <v>10</v>
      </c>
      <c r="F48" s="5">
        <v>48</v>
      </c>
      <c r="G48" s="5">
        <f t="shared" si="3"/>
        <v>960</v>
      </c>
      <c r="H48" s="4" t="s">
        <v>100</v>
      </c>
    </row>
    <row r="49" spans="1:8" ht="15" customHeight="1" x14ac:dyDescent="0.3">
      <c r="A49" s="4"/>
      <c r="B49" s="4" t="s">
        <v>86</v>
      </c>
      <c r="C49" s="4" t="s">
        <v>101</v>
      </c>
      <c r="D49" s="4">
        <v>24</v>
      </c>
      <c r="E49" s="4" t="s">
        <v>10</v>
      </c>
      <c r="F49" s="5">
        <v>48</v>
      </c>
      <c r="G49" s="5">
        <f t="shared" si="3"/>
        <v>1152</v>
      </c>
      <c r="H49" s="4" t="s">
        <v>102</v>
      </c>
    </row>
    <row r="50" spans="1:8" ht="15" customHeight="1" x14ac:dyDescent="0.3">
      <c r="A50" s="4"/>
      <c r="B50" s="4" t="s">
        <v>86</v>
      </c>
      <c r="C50" s="4" t="s">
        <v>103</v>
      </c>
      <c r="D50" s="4">
        <v>1</v>
      </c>
      <c r="E50" s="4" t="s">
        <v>29</v>
      </c>
      <c r="F50" s="5">
        <v>684</v>
      </c>
      <c r="G50" s="5">
        <f t="shared" si="3"/>
        <v>684</v>
      </c>
      <c r="H50" s="4" t="s">
        <v>104</v>
      </c>
    </row>
    <row r="51" spans="1:8" ht="15" customHeight="1" x14ac:dyDescent="0.3">
      <c r="A51" s="18" t="s">
        <v>33</v>
      </c>
      <c r="B51" s="18" t="s">
        <v>86</v>
      </c>
      <c r="C51" s="18"/>
      <c r="D51" s="18"/>
      <c r="E51" s="18"/>
      <c r="F51" s="19"/>
      <c r="G51" s="19">
        <f>SUM(G42:G50)</f>
        <v>8664</v>
      </c>
      <c r="H51" s="18"/>
    </row>
    <row r="52" spans="1:8" ht="15" customHeight="1" x14ac:dyDescent="0.3">
      <c r="A52" s="20"/>
      <c r="B52" s="20" t="s">
        <v>105</v>
      </c>
      <c r="C52" s="20" t="s">
        <v>106</v>
      </c>
      <c r="D52" s="20">
        <v>20</v>
      </c>
      <c r="E52" s="20" t="s">
        <v>10</v>
      </c>
      <c r="F52" s="21">
        <v>42</v>
      </c>
      <c r="G52" s="21">
        <f t="shared" ref="G52:G59" si="4">D52*F52</f>
        <v>840</v>
      </c>
      <c r="H52" s="20" t="s">
        <v>107</v>
      </c>
    </row>
    <row r="53" spans="1:8" ht="15" customHeight="1" x14ac:dyDescent="0.3">
      <c r="A53" s="22"/>
      <c r="B53" s="7" t="s">
        <v>105</v>
      </c>
      <c r="C53" s="7" t="s">
        <v>108</v>
      </c>
      <c r="D53" s="7">
        <v>18</v>
      </c>
      <c r="E53" s="7" t="s">
        <v>10</v>
      </c>
      <c r="F53" s="8">
        <v>42</v>
      </c>
      <c r="G53" s="8">
        <f t="shared" si="4"/>
        <v>756</v>
      </c>
      <c r="H53" s="7" t="s">
        <v>109</v>
      </c>
    </row>
    <row r="54" spans="1:8" ht="15" customHeight="1" x14ac:dyDescent="0.3">
      <c r="B54" s="1" t="s">
        <v>105</v>
      </c>
      <c r="C54" s="1" t="s">
        <v>110</v>
      </c>
      <c r="D54" s="1">
        <v>16</v>
      </c>
      <c r="E54" s="1" t="s">
        <v>10</v>
      </c>
      <c r="F54" s="23">
        <v>47</v>
      </c>
      <c r="G54" s="23">
        <f t="shared" si="4"/>
        <v>752</v>
      </c>
      <c r="H54" s="1" t="s">
        <v>111</v>
      </c>
    </row>
    <row r="55" spans="1:8" ht="15" customHeight="1" x14ac:dyDescent="0.3">
      <c r="B55" s="1" t="s">
        <v>105</v>
      </c>
      <c r="C55" s="1" t="s">
        <v>112</v>
      </c>
      <c r="D55" s="1">
        <v>12</v>
      </c>
      <c r="E55" s="1" t="s">
        <v>10</v>
      </c>
      <c r="F55" s="23">
        <v>47</v>
      </c>
      <c r="G55" s="23">
        <f t="shared" si="4"/>
        <v>564</v>
      </c>
      <c r="H55" s="1" t="s">
        <v>113</v>
      </c>
    </row>
    <row r="56" spans="1:8" ht="15" customHeight="1" x14ac:dyDescent="0.3">
      <c r="B56" s="1" t="s">
        <v>105</v>
      </c>
      <c r="C56" s="1" t="s">
        <v>114</v>
      </c>
      <c r="D56" s="1">
        <v>10</v>
      </c>
      <c r="E56" s="1" t="s">
        <v>10</v>
      </c>
      <c r="F56" s="23">
        <v>47</v>
      </c>
      <c r="G56" s="23">
        <f t="shared" si="4"/>
        <v>470</v>
      </c>
      <c r="H56" s="1" t="s">
        <v>115</v>
      </c>
    </row>
    <row r="57" spans="1:8" ht="15" customHeight="1" x14ac:dyDescent="0.3">
      <c r="B57" s="1" t="s">
        <v>105</v>
      </c>
      <c r="C57" s="1" t="s">
        <v>116</v>
      </c>
      <c r="D57" s="1">
        <v>12</v>
      </c>
      <c r="E57" s="1" t="s">
        <v>10</v>
      </c>
      <c r="F57" s="23">
        <v>37</v>
      </c>
      <c r="G57" s="23">
        <f t="shared" si="4"/>
        <v>444</v>
      </c>
      <c r="H57" s="1" t="s">
        <v>117</v>
      </c>
    </row>
    <row r="58" spans="1:8" ht="15" customHeight="1" x14ac:dyDescent="0.3">
      <c r="B58" s="1" t="s">
        <v>105</v>
      </c>
      <c r="C58" s="1" t="s">
        <v>118</v>
      </c>
      <c r="D58" s="1">
        <v>1</v>
      </c>
      <c r="E58" s="1" t="s">
        <v>29</v>
      </c>
      <c r="F58" s="23">
        <v>366</v>
      </c>
      <c r="G58" s="23">
        <f t="shared" si="4"/>
        <v>366</v>
      </c>
      <c r="H58" s="1" t="s">
        <v>119</v>
      </c>
    </row>
    <row r="59" spans="1:8" ht="15" customHeight="1" x14ac:dyDescent="0.3">
      <c r="B59" s="1" t="s">
        <v>105</v>
      </c>
      <c r="C59" s="1" t="s">
        <v>120</v>
      </c>
      <c r="D59" s="1">
        <v>1</v>
      </c>
      <c r="E59" s="1" t="s">
        <v>29</v>
      </c>
      <c r="F59" s="23">
        <v>1005</v>
      </c>
      <c r="G59" s="23">
        <f t="shared" si="4"/>
        <v>1005</v>
      </c>
      <c r="H59" s="1" t="s">
        <v>121</v>
      </c>
    </row>
    <row r="60" spans="1:8" ht="15" customHeight="1" x14ac:dyDescent="0.3">
      <c r="A60" s="1" t="s">
        <v>33</v>
      </c>
      <c r="B60" s="1" t="s">
        <v>105</v>
      </c>
      <c r="G60" s="23">
        <f>SUM(G52:G59)</f>
        <v>5197</v>
      </c>
    </row>
    <row r="61" spans="1:8" ht="15" customHeight="1" x14ac:dyDescent="0.3">
      <c r="A61" s="1" t="s">
        <v>122</v>
      </c>
      <c r="G61" s="23">
        <f>SUM(G14,G25,G41,G51,G60)</f>
        <v>57580</v>
      </c>
    </row>
    <row r="62" spans="1:8" ht="15" customHeight="1" x14ac:dyDescent="0.3">
      <c r="A62" s="1" t="s">
        <v>123</v>
      </c>
      <c r="G62" s="23">
        <f>G61*0.18</f>
        <v>10364.4</v>
      </c>
    </row>
    <row r="63" spans="1:8" ht="15" customHeight="1" x14ac:dyDescent="0.3">
      <c r="A63" s="1" t="s">
        <v>124</v>
      </c>
      <c r="G63" s="23">
        <f>SUM(G61,G62)</f>
        <v>67944.399999999994</v>
      </c>
    </row>
  </sheetData>
  <mergeCells count="1">
    <mergeCell ref="A1:H1"/>
  </mergeCells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AD2F-25AF-4A60-8C0D-889B7A61241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"/>
  <sheetViews>
    <sheetView zoomScaleNormal="100" workbookViewId="0">
      <selection activeCell="C3" sqref="C3"/>
    </sheetView>
  </sheetViews>
  <sheetFormatPr baseColWidth="10" defaultColWidth="8.6640625" defaultRowHeight="14.4" x14ac:dyDescent="0.3"/>
  <cols>
    <col min="1" max="1" width="14" style="1" customWidth="1"/>
    <col min="2" max="2" width="34" style="1" customWidth="1"/>
    <col min="3" max="3" width="18" style="1" customWidth="1"/>
    <col min="4" max="4" width="14" style="1" customWidth="1"/>
    <col min="5" max="5" width="42" style="1" customWidth="1"/>
    <col min="6" max="6" width="34" style="1" customWidth="1"/>
    <col min="7" max="7" width="28" style="1" customWidth="1"/>
  </cols>
  <sheetData>
    <row r="1" spans="1:7" ht="19.5" customHeight="1" x14ac:dyDescent="0.35">
      <c r="A1" s="40" t="s">
        <v>125</v>
      </c>
      <c r="B1" s="40"/>
      <c r="C1" s="40"/>
      <c r="D1" s="40"/>
      <c r="E1" s="40"/>
      <c r="F1" s="40"/>
      <c r="G1" s="40"/>
    </row>
    <row r="2" spans="1:7" ht="15" customHeight="1" x14ac:dyDescent="0.3">
      <c r="A2" s="24" t="s">
        <v>126</v>
      </c>
      <c r="B2" s="24" t="s">
        <v>127</v>
      </c>
      <c r="C2" s="24" t="s">
        <v>128</v>
      </c>
      <c r="D2" s="24" t="s">
        <v>129</v>
      </c>
      <c r="E2" s="24" t="s">
        <v>130</v>
      </c>
      <c r="F2" s="24" t="s">
        <v>131</v>
      </c>
      <c r="G2" s="24"/>
    </row>
    <row r="3" spans="1:7" ht="15" customHeight="1" x14ac:dyDescent="0.3">
      <c r="A3" s="25" t="s">
        <v>132</v>
      </c>
      <c r="B3" s="25" t="s">
        <v>133</v>
      </c>
      <c r="C3" s="26">
        <f>'Presupuesto por Partidas'!G14</f>
        <v>11656</v>
      </c>
      <c r="D3" s="27">
        <f>C3/$C$10</f>
        <v>0.17155203372169009</v>
      </c>
      <c r="E3" s="25" t="s">
        <v>134</v>
      </c>
      <c r="F3" s="25" t="s">
        <v>135</v>
      </c>
      <c r="G3" s="25"/>
    </row>
    <row r="4" spans="1:7" ht="15" customHeight="1" x14ac:dyDescent="0.3">
      <c r="A4" s="25" t="s">
        <v>136</v>
      </c>
      <c r="B4" s="25" t="s">
        <v>137</v>
      </c>
      <c r="C4" s="26">
        <f>'Presupuesto por Partidas'!G25</f>
        <v>9376</v>
      </c>
      <c r="D4" s="27">
        <f>C4/$C$10</f>
        <v>0.13799518429774935</v>
      </c>
      <c r="E4" s="25" t="s">
        <v>138</v>
      </c>
      <c r="F4" s="25" t="s">
        <v>139</v>
      </c>
      <c r="G4" s="25"/>
    </row>
    <row r="5" spans="1:7" ht="27.75" customHeight="1" x14ac:dyDescent="0.3">
      <c r="A5" s="25" t="s">
        <v>140</v>
      </c>
      <c r="B5" s="25" t="s">
        <v>141</v>
      </c>
      <c r="C5" s="26">
        <f>'Presupuesto por Partidas'!G41</f>
        <v>22687</v>
      </c>
      <c r="D5" s="27">
        <f>C5/$C$10</f>
        <v>0.33390536968462453</v>
      </c>
      <c r="E5" s="25" t="s">
        <v>142</v>
      </c>
      <c r="F5" s="25" t="s">
        <v>143</v>
      </c>
      <c r="G5" s="25"/>
    </row>
    <row r="6" spans="1:7" ht="27.75" customHeight="1" x14ac:dyDescent="0.3">
      <c r="A6" s="25" t="s">
        <v>144</v>
      </c>
      <c r="B6" s="25" t="s">
        <v>145</v>
      </c>
      <c r="C6" s="26">
        <f>'Presupuesto por Partidas'!G51</f>
        <v>8664</v>
      </c>
      <c r="D6" s="27">
        <f>C6/$C$10</f>
        <v>0.12751602781097487</v>
      </c>
      <c r="E6" s="25" t="s">
        <v>146</v>
      </c>
      <c r="F6" s="25" t="s">
        <v>147</v>
      </c>
      <c r="G6" s="25"/>
    </row>
    <row r="7" spans="1:7" ht="27.75" customHeight="1" x14ac:dyDescent="0.3">
      <c r="A7" s="25" t="s">
        <v>148</v>
      </c>
      <c r="B7" s="25" t="s">
        <v>149</v>
      </c>
      <c r="C7" s="26">
        <f>'Presupuesto por Partidas'!G60</f>
        <v>5197</v>
      </c>
      <c r="D7" s="27">
        <f>C7/$C$10</f>
        <v>7.6489011603605314E-2</v>
      </c>
      <c r="E7" s="25" t="s">
        <v>150</v>
      </c>
      <c r="F7" s="25" t="s">
        <v>151</v>
      </c>
      <c r="G7" s="25"/>
    </row>
    <row r="8" spans="1:7" ht="15" customHeight="1" x14ac:dyDescent="0.3">
      <c r="A8" s="1" t="s">
        <v>122</v>
      </c>
      <c r="C8" s="23">
        <f>SUM(C3:C7)</f>
        <v>57580</v>
      </c>
    </row>
    <row r="9" spans="1:7" ht="15" customHeight="1" x14ac:dyDescent="0.3">
      <c r="A9" s="1" t="s">
        <v>123</v>
      </c>
      <c r="C9" s="23">
        <f>C8*0.18</f>
        <v>10364.4</v>
      </c>
    </row>
    <row r="10" spans="1:7" ht="27.75" customHeight="1" x14ac:dyDescent="0.3">
      <c r="A10" s="28" t="s">
        <v>124</v>
      </c>
      <c r="B10" s="28"/>
      <c r="C10" s="29">
        <f>SUM(C8,C9)</f>
        <v>67944.399999999994</v>
      </c>
      <c r="D10" s="30">
        <f>C10/$C$10</f>
        <v>1</v>
      </c>
      <c r="E10" s="28"/>
      <c r="F10" s="28"/>
      <c r="G10" s="28"/>
    </row>
  </sheetData>
  <mergeCells count="1">
    <mergeCell ref="A1:G1"/>
  </mergeCells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5"/>
  <sheetViews>
    <sheetView tabSelected="1" zoomScale="86" zoomScaleNormal="86" workbookViewId="0">
      <pane ySplit="2" topLeftCell="A3" activePane="bottomLeft" state="frozen"/>
      <selection activeCell="D1" sqref="D1"/>
      <selection pane="bottomLeft" activeCell="B3" sqref="B3"/>
    </sheetView>
  </sheetViews>
  <sheetFormatPr baseColWidth="10" defaultColWidth="8.6640625" defaultRowHeight="14.4" x14ac:dyDescent="0.3"/>
  <cols>
    <col min="1" max="1" width="10" style="1" customWidth="1"/>
    <col min="2" max="2" width="34" style="1" customWidth="1"/>
    <col min="3" max="3" width="18" style="1" customWidth="1"/>
    <col min="4" max="5" width="12" style="1" customWidth="1"/>
    <col min="6" max="6" width="20" style="1" customWidth="1"/>
    <col min="7" max="7" width="18" style="1" customWidth="1"/>
    <col min="8" max="8" width="20" style="1" customWidth="1"/>
    <col min="9" max="9" width="52" style="1" customWidth="1"/>
  </cols>
  <sheetData>
    <row r="1" spans="1:9" ht="19.5" customHeight="1" x14ac:dyDescent="0.35">
      <c r="A1" s="39" t="s">
        <v>152</v>
      </c>
      <c r="B1" s="39"/>
      <c r="C1" s="39"/>
      <c r="D1" s="39"/>
      <c r="E1" s="39"/>
      <c r="F1" s="39"/>
      <c r="G1" s="39"/>
      <c r="H1" s="39"/>
      <c r="I1" s="39"/>
    </row>
    <row r="2" spans="1:9" ht="15" customHeight="1" x14ac:dyDescent="0.3">
      <c r="A2" s="31"/>
      <c r="B2" s="31" t="s">
        <v>153</v>
      </c>
      <c r="C2" s="31" t="s">
        <v>154</v>
      </c>
      <c r="D2" s="31" t="s">
        <v>4</v>
      </c>
      <c r="E2" s="31" t="s">
        <v>3</v>
      </c>
      <c r="F2" s="31" t="s">
        <v>5</v>
      </c>
      <c r="G2" s="31" t="s">
        <v>155</v>
      </c>
      <c r="H2" s="31" t="s">
        <v>126</v>
      </c>
      <c r="I2" s="31" t="s">
        <v>156</v>
      </c>
    </row>
    <row r="3" spans="1:9" ht="15" customHeight="1" x14ac:dyDescent="0.3">
      <c r="A3" s="4"/>
      <c r="B3" s="4" t="s">
        <v>157</v>
      </c>
      <c r="C3" s="4" t="s">
        <v>158</v>
      </c>
      <c r="D3" s="4" t="s">
        <v>10</v>
      </c>
      <c r="E3" s="4">
        <v>90</v>
      </c>
      <c r="F3" s="5">
        <v>60</v>
      </c>
      <c r="G3" s="5">
        <f t="shared" ref="G3:G23" si="0">E3*F3</f>
        <v>5400</v>
      </c>
      <c r="H3" s="4" t="s">
        <v>132</v>
      </c>
      <c r="I3" s="4" t="s">
        <v>159</v>
      </c>
    </row>
    <row r="4" spans="1:9" ht="15" customHeight="1" x14ac:dyDescent="0.3">
      <c r="A4" s="4"/>
      <c r="B4" s="4" t="s">
        <v>160</v>
      </c>
      <c r="C4" s="4" t="s">
        <v>158</v>
      </c>
      <c r="D4" s="4" t="s">
        <v>10</v>
      </c>
      <c r="E4" s="4">
        <v>80</v>
      </c>
      <c r="F4" s="5">
        <v>65</v>
      </c>
      <c r="G4" s="5">
        <f t="shared" si="0"/>
        <v>5200</v>
      </c>
      <c r="H4" s="4" t="s">
        <v>161</v>
      </c>
      <c r="I4" s="4" t="s">
        <v>162</v>
      </c>
    </row>
    <row r="5" spans="1:9" ht="15" customHeight="1" x14ac:dyDescent="0.3">
      <c r="A5" s="4"/>
      <c r="B5" s="4" t="s">
        <v>163</v>
      </c>
      <c r="C5" s="4" t="s">
        <v>158</v>
      </c>
      <c r="D5" s="4" t="s">
        <v>10</v>
      </c>
      <c r="E5" s="4">
        <v>45</v>
      </c>
      <c r="F5" s="5">
        <v>80</v>
      </c>
      <c r="G5" s="5">
        <f t="shared" si="0"/>
        <v>3600</v>
      </c>
      <c r="H5" s="4" t="s">
        <v>164</v>
      </c>
      <c r="I5" s="4" t="s">
        <v>165</v>
      </c>
    </row>
    <row r="6" spans="1:9" ht="15" customHeight="1" x14ac:dyDescent="0.3">
      <c r="A6" s="4"/>
      <c r="B6" s="4" t="s">
        <v>166</v>
      </c>
      <c r="C6" s="4" t="s">
        <v>158</v>
      </c>
      <c r="D6" s="4" t="s">
        <v>10</v>
      </c>
      <c r="E6" s="4">
        <v>125</v>
      </c>
      <c r="F6" s="5">
        <v>75</v>
      </c>
      <c r="G6" s="5">
        <f t="shared" si="0"/>
        <v>9375</v>
      </c>
      <c r="H6" s="4" t="s">
        <v>167</v>
      </c>
      <c r="I6" s="4" t="s">
        <v>168</v>
      </c>
    </row>
    <row r="7" spans="1:9" ht="15" customHeight="1" x14ac:dyDescent="0.3">
      <c r="A7" s="4"/>
      <c r="B7" s="4" t="s">
        <v>169</v>
      </c>
      <c r="C7" s="4" t="s">
        <v>158</v>
      </c>
      <c r="D7" s="4" t="s">
        <v>10</v>
      </c>
      <c r="E7" s="4">
        <v>90</v>
      </c>
      <c r="F7" s="5">
        <v>85</v>
      </c>
      <c r="G7" s="5">
        <f t="shared" si="0"/>
        <v>7650</v>
      </c>
      <c r="H7" s="4" t="s">
        <v>167</v>
      </c>
      <c r="I7" s="4" t="s">
        <v>170</v>
      </c>
    </row>
    <row r="8" spans="1:9" ht="15" customHeight="1" x14ac:dyDescent="0.3">
      <c r="A8" s="4"/>
      <c r="B8" s="4" t="s">
        <v>171</v>
      </c>
      <c r="C8" s="4" t="s">
        <v>158</v>
      </c>
      <c r="D8" s="4" t="s">
        <v>10</v>
      </c>
      <c r="E8" s="4">
        <v>65</v>
      </c>
      <c r="F8" s="5">
        <v>70</v>
      </c>
      <c r="G8" s="5">
        <f t="shared" si="0"/>
        <v>4550</v>
      </c>
      <c r="H8" s="4" t="s">
        <v>164</v>
      </c>
      <c r="I8" s="4" t="s">
        <v>172</v>
      </c>
    </row>
    <row r="9" spans="1:9" ht="15" customHeight="1" x14ac:dyDescent="0.3">
      <c r="A9" s="4"/>
      <c r="B9" s="4" t="s">
        <v>173</v>
      </c>
      <c r="C9" s="4" t="s">
        <v>158</v>
      </c>
      <c r="D9" s="4" t="s">
        <v>10</v>
      </c>
      <c r="E9" s="4">
        <v>55</v>
      </c>
      <c r="F9" s="5">
        <v>75</v>
      </c>
      <c r="G9" s="5">
        <f t="shared" si="0"/>
        <v>4125</v>
      </c>
      <c r="H9" s="4" t="s">
        <v>167</v>
      </c>
      <c r="I9" s="4" t="s">
        <v>174</v>
      </c>
    </row>
    <row r="10" spans="1:9" ht="15" customHeight="1" x14ac:dyDescent="0.3">
      <c r="A10" s="4"/>
      <c r="B10" s="4" t="s">
        <v>175</v>
      </c>
      <c r="C10" s="4" t="s">
        <v>158</v>
      </c>
      <c r="D10" s="4" t="s">
        <v>10</v>
      </c>
      <c r="E10" s="4">
        <v>65</v>
      </c>
      <c r="F10" s="5">
        <v>60</v>
      </c>
      <c r="G10" s="5">
        <f t="shared" si="0"/>
        <v>3900</v>
      </c>
      <c r="H10" s="4" t="s">
        <v>144</v>
      </c>
      <c r="I10" s="4" t="s">
        <v>176</v>
      </c>
    </row>
    <row r="11" spans="1:9" ht="15" customHeight="1" x14ac:dyDescent="0.3">
      <c r="A11" s="4"/>
      <c r="B11" s="4" t="s">
        <v>177</v>
      </c>
      <c r="C11" s="4" t="s">
        <v>158</v>
      </c>
      <c r="D11" s="4" t="s">
        <v>10</v>
      </c>
      <c r="E11" s="4">
        <v>45</v>
      </c>
      <c r="F11" s="5">
        <v>55</v>
      </c>
      <c r="G11" s="5">
        <f t="shared" si="0"/>
        <v>2475</v>
      </c>
      <c r="H11" s="4" t="s">
        <v>148</v>
      </c>
      <c r="I11" s="4" t="s">
        <v>178</v>
      </c>
    </row>
    <row r="12" spans="1:9" ht="15" customHeight="1" x14ac:dyDescent="0.3">
      <c r="A12" s="4"/>
      <c r="B12" s="4" t="s">
        <v>179</v>
      </c>
      <c r="C12" s="4" t="s">
        <v>180</v>
      </c>
      <c r="D12" s="4" t="s">
        <v>181</v>
      </c>
      <c r="E12" s="4">
        <v>4</v>
      </c>
      <c r="F12" s="5">
        <v>250</v>
      </c>
      <c r="G12" s="5">
        <f t="shared" si="0"/>
        <v>1000</v>
      </c>
      <c r="H12" s="4" t="s">
        <v>182</v>
      </c>
      <c r="I12" s="4" t="s">
        <v>183</v>
      </c>
    </row>
    <row r="13" spans="1:9" ht="15" customHeight="1" x14ac:dyDescent="0.3">
      <c r="A13" s="4"/>
      <c r="B13" s="4" t="s">
        <v>184</v>
      </c>
      <c r="C13" s="4" t="s">
        <v>180</v>
      </c>
      <c r="D13" s="4" t="s">
        <v>181</v>
      </c>
      <c r="E13" s="4">
        <v>4</v>
      </c>
      <c r="F13" s="5">
        <v>800</v>
      </c>
      <c r="G13" s="5">
        <f t="shared" si="0"/>
        <v>3200</v>
      </c>
      <c r="H13" s="4" t="s">
        <v>185</v>
      </c>
      <c r="I13" s="4" t="s">
        <v>186</v>
      </c>
    </row>
    <row r="14" spans="1:9" ht="15" customHeight="1" x14ac:dyDescent="0.3">
      <c r="A14" s="4"/>
      <c r="B14" s="4" t="s">
        <v>187</v>
      </c>
      <c r="C14" s="4" t="s">
        <v>188</v>
      </c>
      <c r="D14" s="4" t="s">
        <v>181</v>
      </c>
      <c r="E14" s="4">
        <v>4</v>
      </c>
      <c r="F14" s="5">
        <v>180</v>
      </c>
      <c r="G14" s="5">
        <f t="shared" si="0"/>
        <v>720</v>
      </c>
      <c r="H14" s="4" t="s">
        <v>182</v>
      </c>
      <c r="I14" s="4" t="s">
        <v>189</v>
      </c>
    </row>
    <row r="15" spans="1:9" ht="15" customHeight="1" x14ac:dyDescent="0.3">
      <c r="A15" s="4"/>
      <c r="B15" s="4" t="s">
        <v>190</v>
      </c>
      <c r="C15" s="4" t="s">
        <v>188</v>
      </c>
      <c r="D15" s="4" t="s">
        <v>181</v>
      </c>
      <c r="E15" s="4">
        <v>4</v>
      </c>
      <c r="F15" s="5">
        <v>300</v>
      </c>
      <c r="G15" s="5">
        <f t="shared" si="0"/>
        <v>1200</v>
      </c>
      <c r="H15" s="4" t="s">
        <v>191</v>
      </c>
      <c r="I15" s="4" t="s">
        <v>192</v>
      </c>
    </row>
    <row r="16" spans="1:9" ht="15" customHeight="1" x14ac:dyDescent="0.3">
      <c r="A16" s="4"/>
      <c r="B16" s="4" t="s">
        <v>193</v>
      </c>
      <c r="C16" s="4" t="s">
        <v>188</v>
      </c>
      <c r="D16" s="4" t="s">
        <v>181</v>
      </c>
      <c r="E16" s="4">
        <v>4</v>
      </c>
      <c r="F16" s="5">
        <v>200</v>
      </c>
      <c r="G16" s="5">
        <f t="shared" si="0"/>
        <v>800</v>
      </c>
      <c r="H16" s="4" t="s">
        <v>182</v>
      </c>
      <c r="I16" s="4" t="s">
        <v>194</v>
      </c>
    </row>
    <row r="17" spans="1:9" ht="15" customHeight="1" x14ac:dyDescent="0.3">
      <c r="A17" s="4"/>
      <c r="B17" s="4" t="s">
        <v>195</v>
      </c>
      <c r="C17" s="4" t="s">
        <v>188</v>
      </c>
      <c r="D17" s="4" t="s">
        <v>181</v>
      </c>
      <c r="E17" s="4">
        <v>4</v>
      </c>
      <c r="F17" s="5">
        <v>60</v>
      </c>
      <c r="G17" s="5">
        <f t="shared" si="0"/>
        <v>240</v>
      </c>
      <c r="H17" s="4" t="s">
        <v>182</v>
      </c>
      <c r="I17" s="4" t="s">
        <v>196</v>
      </c>
    </row>
    <row r="18" spans="1:9" ht="15" customHeight="1" x14ac:dyDescent="0.3">
      <c r="A18" s="4"/>
      <c r="B18" s="4" t="s">
        <v>197</v>
      </c>
      <c r="C18" s="4" t="s">
        <v>198</v>
      </c>
      <c r="D18" s="4" t="s">
        <v>181</v>
      </c>
      <c r="E18" s="4">
        <v>4</v>
      </c>
      <c r="F18" s="5">
        <v>180</v>
      </c>
      <c r="G18" s="5">
        <f t="shared" si="0"/>
        <v>720</v>
      </c>
      <c r="H18" s="4" t="s">
        <v>182</v>
      </c>
      <c r="I18" s="4" t="s">
        <v>199</v>
      </c>
    </row>
    <row r="19" spans="1:9" ht="15" customHeight="1" x14ac:dyDescent="0.3">
      <c r="A19" s="4"/>
      <c r="B19" s="4" t="s">
        <v>200</v>
      </c>
      <c r="C19" s="4" t="s">
        <v>188</v>
      </c>
      <c r="D19" s="4" t="s">
        <v>181</v>
      </c>
      <c r="E19" s="4">
        <v>4</v>
      </c>
      <c r="F19" s="5">
        <v>200</v>
      </c>
      <c r="G19" s="5">
        <f t="shared" si="0"/>
        <v>800</v>
      </c>
      <c r="H19" s="4" t="s">
        <v>201</v>
      </c>
      <c r="I19" s="4" t="s">
        <v>202</v>
      </c>
    </row>
    <row r="20" spans="1:9" ht="15" customHeight="1" x14ac:dyDescent="0.3">
      <c r="A20" s="4"/>
      <c r="B20" s="4" t="s">
        <v>203</v>
      </c>
      <c r="C20" s="4" t="s">
        <v>198</v>
      </c>
      <c r="D20" s="4" t="s">
        <v>29</v>
      </c>
      <c r="E20" s="4">
        <v>1</v>
      </c>
      <c r="F20" s="5">
        <v>700</v>
      </c>
      <c r="G20" s="5">
        <f t="shared" si="0"/>
        <v>700</v>
      </c>
      <c r="H20" s="4" t="s">
        <v>182</v>
      </c>
      <c r="I20" s="4" t="s">
        <v>204</v>
      </c>
    </row>
    <row r="21" spans="1:9" ht="15" customHeight="1" x14ac:dyDescent="0.3">
      <c r="A21" s="4"/>
      <c r="B21" s="4" t="s">
        <v>205</v>
      </c>
      <c r="C21" s="4" t="s">
        <v>188</v>
      </c>
      <c r="D21" s="4" t="s">
        <v>29</v>
      </c>
      <c r="E21" s="4">
        <v>1</v>
      </c>
      <c r="F21" s="5">
        <v>600</v>
      </c>
      <c r="G21" s="5">
        <f t="shared" si="0"/>
        <v>600</v>
      </c>
      <c r="H21" s="4" t="s">
        <v>136</v>
      </c>
      <c r="I21" s="4" t="s">
        <v>206</v>
      </c>
    </row>
    <row r="22" spans="1:9" ht="15" customHeight="1" x14ac:dyDescent="0.3">
      <c r="A22" s="4"/>
      <c r="B22" s="4" t="s">
        <v>207</v>
      </c>
      <c r="C22" s="4" t="s">
        <v>188</v>
      </c>
      <c r="D22" s="4" t="s">
        <v>29</v>
      </c>
      <c r="E22" s="4">
        <v>1</v>
      </c>
      <c r="F22" s="5">
        <v>700</v>
      </c>
      <c r="G22" s="5">
        <f t="shared" si="0"/>
        <v>700</v>
      </c>
      <c r="H22" s="4" t="s">
        <v>144</v>
      </c>
      <c r="I22" s="4" t="s">
        <v>208</v>
      </c>
    </row>
    <row r="23" spans="1:9" ht="27.75" customHeight="1" x14ac:dyDescent="0.3">
      <c r="A23" s="32"/>
      <c r="B23" s="32" t="s">
        <v>209</v>
      </c>
      <c r="C23" s="32" t="s">
        <v>210</v>
      </c>
      <c r="D23" s="32" t="s">
        <v>29</v>
      </c>
      <c r="E23" s="32">
        <v>1</v>
      </c>
      <c r="F23" s="33">
        <v>625</v>
      </c>
      <c r="G23" s="33">
        <f t="shared" si="0"/>
        <v>625</v>
      </c>
      <c r="H23" s="32" t="s">
        <v>182</v>
      </c>
      <c r="I23" s="32" t="s">
        <v>211</v>
      </c>
    </row>
    <row r="24" spans="1:9" ht="15" customHeight="1" x14ac:dyDescent="0.3">
      <c r="A24" s="1" t="s">
        <v>122</v>
      </c>
      <c r="F24" s="23"/>
      <c r="G24" s="23">
        <f>SUM(G3:G23)</f>
        <v>57580</v>
      </c>
    </row>
    <row r="25" spans="1:9" ht="15" customHeight="1" x14ac:dyDescent="0.3">
      <c r="A25" s="1" t="s">
        <v>123</v>
      </c>
      <c r="F25" s="23"/>
      <c r="G25" s="23">
        <f>G24*0.18</f>
        <v>10364.4</v>
      </c>
    </row>
    <row r="26" spans="1:9" ht="15" customHeight="1" x14ac:dyDescent="0.3">
      <c r="A26" s="41" t="s">
        <v>124</v>
      </c>
      <c r="B26" s="41"/>
      <c r="C26" s="41"/>
      <c r="D26" s="41"/>
      <c r="E26" s="4"/>
      <c r="F26" s="5"/>
      <c r="G26" s="5">
        <f>SUM(G24:G25)</f>
        <v>67944.399999999994</v>
      </c>
      <c r="H26" s="4"/>
      <c r="I26" s="4"/>
    </row>
    <row r="27" spans="1:9" ht="1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5" customHeight="1" x14ac:dyDescent="0.3">
      <c r="A28" s="34"/>
      <c r="B28" s="35"/>
      <c r="C28" s="35"/>
      <c r="D28" s="35"/>
      <c r="E28" s="4"/>
      <c r="F28" s="4"/>
      <c r="G28" s="4"/>
      <c r="H28" s="4"/>
      <c r="I28" s="4"/>
    </row>
    <row r="29" spans="1:9" ht="15" customHeight="1" x14ac:dyDescent="0.3">
      <c r="A29" s="34"/>
      <c r="B29" s="34"/>
      <c r="C29" s="34"/>
      <c r="D29" s="34"/>
      <c r="E29" s="4"/>
      <c r="F29" s="4"/>
      <c r="G29" s="4"/>
      <c r="H29" s="4"/>
      <c r="I29" s="4"/>
    </row>
    <row r="30" spans="1:9" ht="15" customHeight="1" x14ac:dyDescent="0.3">
      <c r="A30" s="4"/>
      <c r="B30" s="5"/>
      <c r="C30" s="36"/>
      <c r="D30" s="4"/>
      <c r="E30" s="4"/>
      <c r="F30" s="4"/>
      <c r="G30" s="4"/>
      <c r="H30" s="4"/>
      <c r="I30" s="4"/>
    </row>
    <row r="31" spans="1:9" ht="15" customHeight="1" x14ac:dyDescent="0.3">
      <c r="A31" s="4"/>
      <c r="B31" s="5"/>
      <c r="C31" s="36"/>
      <c r="D31" s="4"/>
      <c r="E31" s="4"/>
      <c r="F31" s="4"/>
      <c r="G31" s="4"/>
      <c r="H31" s="4"/>
      <c r="I31" s="4"/>
    </row>
    <row r="32" spans="1:9" ht="15" customHeight="1" x14ac:dyDescent="0.3">
      <c r="A32" s="4"/>
      <c r="B32" s="5"/>
      <c r="C32" s="36"/>
      <c r="D32" s="4"/>
      <c r="E32" s="4"/>
      <c r="F32" s="4"/>
      <c r="G32" s="4"/>
      <c r="H32" s="4"/>
      <c r="I32" s="4"/>
    </row>
    <row r="33" spans="1:9" ht="15" customHeight="1" x14ac:dyDescent="0.3">
      <c r="A33" s="4"/>
      <c r="B33" s="5"/>
      <c r="C33" s="36"/>
      <c r="D33" s="4"/>
      <c r="E33" s="4"/>
      <c r="F33" s="4"/>
      <c r="G33" s="4"/>
      <c r="H33" s="4"/>
      <c r="I33" s="4"/>
    </row>
    <row r="34" spans="1:9" ht="15" customHeight="1" x14ac:dyDescent="0.3">
      <c r="A34" s="4"/>
      <c r="B34" s="5"/>
      <c r="C34" s="36"/>
      <c r="D34" s="4"/>
      <c r="E34" s="4"/>
      <c r="F34" s="4"/>
      <c r="G34" s="4"/>
      <c r="H34" s="4"/>
      <c r="I34" s="4"/>
    </row>
    <row r="35" spans="1:9" ht="15" customHeight="1" x14ac:dyDescent="0.3">
      <c r="A35" s="34"/>
      <c r="B35" s="37"/>
      <c r="C35" s="38"/>
      <c r="D35" s="34"/>
      <c r="E35" s="4"/>
      <c r="F35" s="4"/>
      <c r="G35" s="4"/>
      <c r="H35" s="4"/>
      <c r="I35" s="4"/>
    </row>
  </sheetData>
  <mergeCells count="2">
    <mergeCell ref="A1:I1"/>
    <mergeCell ref="A26:D26"/>
  </mergeCells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por Partidas</vt:lpstr>
      <vt:lpstr>Hoja1</vt:lpstr>
      <vt:lpstr>Presupuesto</vt:lpstr>
      <vt:lpstr>Hoja de 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2026-08-19T03:04:28Z</dcterms:created>
  <dcterms:modified xsi:type="dcterms:W3CDTF">2026-08-20T21:54:25Z</dcterms:modified>
  <dc:language>en-US</dc:language>
</cp:coreProperties>
</file>